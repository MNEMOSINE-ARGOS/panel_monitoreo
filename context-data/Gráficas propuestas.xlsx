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e_\Desktop\Panel de monitoreo\monitoreo\context-data\"/>
    </mc:Choice>
  </mc:AlternateContent>
  <xr:revisionPtr revIDLastSave="0" documentId="8_{A0C080E8-BC6D-4DFD-93D9-DF48B0A4A626}" xr6:coauthVersionLast="47" xr6:coauthVersionMax="47" xr10:uidLastSave="{00000000-0000-0000-0000-000000000000}"/>
  <bookViews>
    <workbookView xWindow="-28920" yWindow="-3000" windowWidth="29040" windowHeight="15720" xr2:uid="{2098462B-034E-BA48-9685-B6CB87317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8" i="1" l="1"/>
  <c r="D109" i="1" s="1"/>
  <c r="D110" i="1" s="1"/>
  <c r="D111" i="1" s="1"/>
  <c r="D112" i="1" s="1"/>
  <c r="D113" i="1" s="1"/>
  <c r="D114" i="1" s="1"/>
  <c r="D115" i="1" s="1"/>
  <c r="D116" i="1" s="1"/>
  <c r="C108" i="1"/>
  <c r="C109" i="1" s="1"/>
  <c r="C110" i="1" s="1"/>
  <c r="C111" i="1" s="1"/>
  <c r="C112" i="1" s="1"/>
  <c r="C113" i="1" s="1"/>
  <c r="C114" i="1" s="1"/>
  <c r="C115" i="1" s="1"/>
  <c r="C116" i="1" s="1"/>
  <c r="J78" i="1"/>
  <c r="J79" i="1"/>
  <c r="J80" i="1"/>
  <c r="J81" i="1"/>
  <c r="J82" i="1"/>
  <c r="J83" i="1"/>
  <c r="J84" i="1"/>
  <c r="J85" i="1"/>
  <c r="J86" i="1"/>
  <c r="J77" i="1"/>
  <c r="F78" i="1"/>
  <c r="F79" i="1"/>
  <c r="F80" i="1"/>
  <c r="F81" i="1"/>
  <c r="F82" i="1"/>
  <c r="F83" i="1"/>
  <c r="F84" i="1"/>
  <c r="F85" i="1"/>
  <c r="F86" i="1"/>
  <c r="F77" i="1"/>
  <c r="J72" i="1"/>
  <c r="J71" i="1"/>
  <c r="J70" i="1"/>
  <c r="J69" i="1"/>
  <c r="J68" i="1"/>
  <c r="J67" i="1"/>
  <c r="J66" i="1"/>
  <c r="J65" i="1"/>
  <c r="J64" i="1"/>
  <c r="J63" i="1"/>
  <c r="F72" i="1"/>
  <c r="F71" i="1"/>
  <c r="F70" i="1"/>
  <c r="F69" i="1"/>
  <c r="F68" i="1"/>
  <c r="F67" i="1"/>
  <c r="F66" i="1"/>
  <c r="F65" i="1"/>
  <c r="F64" i="1"/>
  <c r="F63" i="1"/>
  <c r="C56" i="1"/>
  <c r="C55" i="1"/>
  <c r="C54" i="1"/>
  <c r="C53" i="1"/>
  <c r="C52" i="1"/>
  <c r="C51" i="1"/>
  <c r="C50" i="1"/>
  <c r="C49" i="1"/>
  <c r="C48" i="1"/>
  <c r="D48" i="1" s="1"/>
  <c r="C47" i="1"/>
  <c r="C28" i="1"/>
  <c r="C29" i="1"/>
  <c r="C30" i="1"/>
  <c r="C31" i="1"/>
  <c r="C32" i="1"/>
  <c r="C33" i="1"/>
  <c r="C34" i="1"/>
  <c r="C35" i="1"/>
  <c r="C36" i="1"/>
  <c r="C27" i="1"/>
  <c r="F6" i="1"/>
  <c r="F7" i="1"/>
  <c r="F8" i="1"/>
  <c r="F9" i="1"/>
  <c r="F10" i="1"/>
  <c r="F11" i="1"/>
  <c r="F12" i="1"/>
  <c r="F13" i="1"/>
  <c r="F14" i="1"/>
  <c r="F5" i="1"/>
  <c r="D49" i="1" l="1"/>
  <c r="D50" i="1" s="1"/>
  <c r="D51" i="1" s="1"/>
  <c r="D52" i="1" s="1"/>
  <c r="D53" i="1" s="1"/>
  <c r="D54" i="1" s="1"/>
  <c r="D55" i="1" s="1"/>
  <c r="D56" i="1" s="1"/>
</calcChain>
</file>

<file path=xl/sharedStrings.xml><?xml version="1.0" encoding="utf-8"?>
<sst xmlns="http://schemas.openxmlformats.org/spreadsheetml/2006/main" count="45" uniqueCount="12">
  <si>
    <t>Positivas</t>
  </si>
  <si>
    <t>Negativas</t>
  </si>
  <si>
    <t>Neutras</t>
  </si>
  <si>
    <t>Totales</t>
  </si>
  <si>
    <t>Balance</t>
  </si>
  <si>
    <t>* Notas neutrales más la diferencia de las notas positivas menos las negativas</t>
  </si>
  <si>
    <t>Balance acumulado</t>
  </si>
  <si>
    <t>SPEEDY GONZÁLEZ</t>
  </si>
  <si>
    <t>CORRECAMINOS</t>
  </si>
  <si>
    <t>BALANCE</t>
  </si>
  <si>
    <t>CORRE CAMINOS</t>
  </si>
  <si>
    <t>BALANCE ACUMULADO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</si>
</sst>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Cobertura medíatica desagregada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Hoja1!$C$4</c:f>
              <c:strCache>
                <c:ptCount val="1"/>
                <c:pt idx="0">
                  <c:v>Positivas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Hoja1!$B$5:$B$14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Hoja1!$C$5:$C$14</c:f>
              <c:numCache>
                <c:formatCode>General</c:formatCode>
                <c:ptCount val="10"/>
                <c:pt idx="0">
                  <c:v>5</c:v>
                </c:pt>
                <c:pt idx="1">
                  <c:v>7</c:v>
                </c:pt>
                <c:pt idx="2">
                  <c:v>8</c:v>
                </c:pt>
                <c:pt idx="3">
                  <c:v>15</c:v>
                </c:pt>
                <c:pt idx="4">
                  <c:v>12</c:v>
                </c:pt>
                <c:pt idx="5">
                  <c:v>8</c:v>
                </c:pt>
                <c:pt idx="6">
                  <c:v>5</c:v>
                </c:pt>
                <c:pt idx="7">
                  <c:v>3</c:v>
                </c:pt>
                <c:pt idx="8">
                  <c:v>3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AC-EF4E-9D73-02316D06618D}"/>
            </c:ext>
          </c:extLst>
        </c:ser>
        <c:ser>
          <c:idx val="1"/>
          <c:order val="1"/>
          <c:tx>
            <c:strRef>
              <c:f>Hoja1!$D$4</c:f>
              <c:strCache>
                <c:ptCount val="1"/>
                <c:pt idx="0">
                  <c:v>Negativas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Hoja1!$B$5:$B$14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Hoja1!$D$5:$D$14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5</c:v>
                </c:pt>
                <c:pt idx="6">
                  <c:v>7</c:v>
                </c:pt>
                <c:pt idx="7">
                  <c:v>8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C-EF4E-9D73-02316D06618D}"/>
            </c:ext>
          </c:extLst>
        </c:ser>
        <c:ser>
          <c:idx val="2"/>
          <c:order val="2"/>
          <c:tx>
            <c:strRef>
              <c:f>Hoja1!$E$4</c:f>
              <c:strCache>
                <c:ptCount val="1"/>
                <c:pt idx="0">
                  <c:v>Neutras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Hoja1!$B$5:$B$14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Hoja1!$E$5:$E$14</c:f>
              <c:numCache>
                <c:formatCode>General</c:formatCode>
                <c:ptCount val="10"/>
                <c:pt idx="0">
                  <c:v>18</c:v>
                </c:pt>
                <c:pt idx="1">
                  <c:v>22</c:v>
                </c:pt>
                <c:pt idx="2">
                  <c:v>5</c:v>
                </c:pt>
                <c:pt idx="3">
                  <c:v>17</c:v>
                </c:pt>
                <c:pt idx="4">
                  <c:v>14</c:v>
                </c:pt>
                <c:pt idx="5">
                  <c:v>24</c:v>
                </c:pt>
                <c:pt idx="6">
                  <c:v>18</c:v>
                </c:pt>
                <c:pt idx="7">
                  <c:v>9</c:v>
                </c:pt>
                <c:pt idx="8">
                  <c:v>12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8AC-EF4E-9D73-02316D06618D}"/>
            </c:ext>
          </c:extLst>
        </c:ser>
        <c:ser>
          <c:idx val="3"/>
          <c:order val="3"/>
          <c:tx>
            <c:strRef>
              <c:f>Hoja1!$F$4</c:f>
              <c:strCache>
                <c:ptCount val="1"/>
                <c:pt idx="0">
                  <c:v>Totales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Hoja1!$B$5:$B$14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Hoja1!$F$5:$F$14</c:f>
              <c:numCache>
                <c:formatCode>General</c:formatCode>
                <c:ptCount val="10"/>
                <c:pt idx="0">
                  <c:v>26</c:v>
                </c:pt>
                <c:pt idx="1">
                  <c:v>33</c:v>
                </c:pt>
                <c:pt idx="2">
                  <c:v>14</c:v>
                </c:pt>
                <c:pt idx="3">
                  <c:v>33</c:v>
                </c:pt>
                <c:pt idx="4">
                  <c:v>28</c:v>
                </c:pt>
                <c:pt idx="5">
                  <c:v>37</c:v>
                </c:pt>
                <c:pt idx="6">
                  <c:v>30</c:v>
                </c:pt>
                <c:pt idx="7">
                  <c:v>20</c:v>
                </c:pt>
                <c:pt idx="8">
                  <c:v>16</c:v>
                </c:pt>
                <c:pt idx="9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8AC-EF4E-9D73-02316D066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66016"/>
        <c:axId val="169161712"/>
      </c:lineChart>
      <c:dateAx>
        <c:axId val="16946601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161712"/>
        <c:crosses val="autoZero"/>
        <c:auto val="1"/>
        <c:lblOffset val="100"/>
        <c:baseTimeUnit val="days"/>
      </c:dateAx>
      <c:valAx>
        <c:axId val="16916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46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50800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 de cobertura mediática*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Hoja1!$C$26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Hoja1!$B$27:$B$36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Hoja1!$C$27:$C$36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12</c:v>
                </c:pt>
                <c:pt idx="3">
                  <c:v>31</c:v>
                </c:pt>
                <c:pt idx="4">
                  <c:v>24</c:v>
                </c:pt>
                <c:pt idx="5">
                  <c:v>27</c:v>
                </c:pt>
                <c:pt idx="6">
                  <c:v>16</c:v>
                </c:pt>
                <c:pt idx="7">
                  <c:v>4</c:v>
                </c:pt>
                <c:pt idx="8">
                  <c:v>14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93-564E-AFC4-E8B505540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853200"/>
        <c:axId val="248854912"/>
      </c:lineChart>
      <c:dateAx>
        <c:axId val="24885320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854912"/>
        <c:crosses val="autoZero"/>
        <c:auto val="1"/>
        <c:lblOffset val="100"/>
        <c:baseTimeUnit val="days"/>
      </c:dateAx>
      <c:valAx>
        <c:axId val="24885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48853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Balance acumulado de cobertura medíatica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Hoja1!$C$46</c:f>
              <c:strCache>
                <c:ptCount val="1"/>
                <c:pt idx="0">
                  <c:v>Balance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Hoja1!$B$47:$B$56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Hoja1!$C$47:$C$56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12</c:v>
                </c:pt>
                <c:pt idx="3">
                  <c:v>31</c:v>
                </c:pt>
                <c:pt idx="4">
                  <c:v>24</c:v>
                </c:pt>
                <c:pt idx="5">
                  <c:v>27</c:v>
                </c:pt>
                <c:pt idx="6">
                  <c:v>16</c:v>
                </c:pt>
                <c:pt idx="7">
                  <c:v>4</c:v>
                </c:pt>
                <c:pt idx="8">
                  <c:v>14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F3-4C4D-8B65-E79BD9F4BB26}"/>
            </c:ext>
          </c:extLst>
        </c:ser>
        <c:ser>
          <c:idx val="1"/>
          <c:order val="1"/>
          <c:tx>
            <c:strRef>
              <c:f>Hoja1!$D$46</c:f>
              <c:strCache>
                <c:ptCount val="1"/>
                <c:pt idx="0">
                  <c:v>Balance acumulado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Hoja1!$B$47:$B$56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Hoja1!$D$47:$D$56</c:f>
              <c:numCache>
                <c:formatCode>General</c:formatCode>
                <c:ptCount val="10"/>
                <c:pt idx="0">
                  <c:v>20</c:v>
                </c:pt>
                <c:pt idx="1">
                  <c:v>45</c:v>
                </c:pt>
                <c:pt idx="2">
                  <c:v>57</c:v>
                </c:pt>
                <c:pt idx="3">
                  <c:v>88</c:v>
                </c:pt>
                <c:pt idx="4">
                  <c:v>112</c:v>
                </c:pt>
                <c:pt idx="5">
                  <c:v>139</c:v>
                </c:pt>
                <c:pt idx="6">
                  <c:v>155</c:v>
                </c:pt>
                <c:pt idx="7">
                  <c:v>159</c:v>
                </c:pt>
                <c:pt idx="8">
                  <c:v>173</c:v>
                </c:pt>
                <c:pt idx="9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F3-4C4D-8B65-E79BD9F4BB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6365600"/>
        <c:axId val="295920656"/>
      </c:lineChart>
      <c:dateAx>
        <c:axId val="29636560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5920656"/>
        <c:crosses val="autoZero"/>
        <c:auto val="1"/>
        <c:lblOffset val="100"/>
        <c:baseTimeUnit val="days"/>
      </c:dateAx>
      <c:valAx>
        <c:axId val="29592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9636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0800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Comparativo</a:t>
            </a:r>
            <a:r>
              <a:rPr lang="es-MX" baseline="0"/>
              <a:t> de balance acumulado de cobertura mediática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Hoja1!$C$105:$C$106</c:f>
              <c:strCache>
                <c:ptCount val="2"/>
                <c:pt idx="0">
                  <c:v>SPEEDY GONZÁLEZ</c:v>
                </c:pt>
                <c:pt idx="1">
                  <c:v>BALANCE ACUMULADO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Hoja1!$B$107:$B$116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Hoja1!$C$107:$C$116</c:f>
              <c:numCache>
                <c:formatCode>General</c:formatCode>
                <c:ptCount val="10"/>
                <c:pt idx="0">
                  <c:v>20</c:v>
                </c:pt>
                <c:pt idx="1">
                  <c:v>45</c:v>
                </c:pt>
                <c:pt idx="2">
                  <c:v>57</c:v>
                </c:pt>
                <c:pt idx="3">
                  <c:v>88</c:v>
                </c:pt>
                <c:pt idx="4">
                  <c:v>112</c:v>
                </c:pt>
                <c:pt idx="5">
                  <c:v>139</c:v>
                </c:pt>
                <c:pt idx="6">
                  <c:v>155</c:v>
                </c:pt>
                <c:pt idx="7">
                  <c:v>159</c:v>
                </c:pt>
                <c:pt idx="8">
                  <c:v>173</c:v>
                </c:pt>
                <c:pt idx="9">
                  <c:v>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4-CF4A-BC10-06D7F4C750FF}"/>
            </c:ext>
          </c:extLst>
        </c:ser>
        <c:ser>
          <c:idx val="1"/>
          <c:order val="1"/>
          <c:tx>
            <c:strRef>
              <c:f>Hoja1!$D$105:$D$106</c:f>
              <c:strCache>
                <c:ptCount val="2"/>
                <c:pt idx="0">
                  <c:v>CORRE CAMINOS</c:v>
                </c:pt>
                <c:pt idx="1">
                  <c:v>BALANCE ACUMULADO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Hoja1!$B$107:$B$116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Hoja1!$D$107:$D$116</c:f>
              <c:numCache>
                <c:formatCode>General</c:formatCode>
                <c:ptCount val="10"/>
                <c:pt idx="0">
                  <c:v>26</c:v>
                </c:pt>
                <c:pt idx="1">
                  <c:v>51</c:v>
                </c:pt>
                <c:pt idx="2">
                  <c:v>74</c:v>
                </c:pt>
                <c:pt idx="3">
                  <c:v>97</c:v>
                </c:pt>
                <c:pt idx="4">
                  <c:v>123</c:v>
                </c:pt>
                <c:pt idx="5">
                  <c:v>151</c:v>
                </c:pt>
                <c:pt idx="6">
                  <c:v>181</c:v>
                </c:pt>
                <c:pt idx="7">
                  <c:v>201</c:v>
                </c:pt>
                <c:pt idx="8">
                  <c:v>218</c:v>
                </c:pt>
                <c:pt idx="9">
                  <c:v>240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34-CF4A-BC10-06D7F4C75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674816"/>
        <c:axId val="169230224"/>
      </c:lineChart>
      <c:dateAx>
        <c:axId val="169674816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230224"/>
        <c:crosses val="autoZero"/>
        <c:auto val="1"/>
        <c:lblOffset val="100"/>
        <c:baseTimeUnit val="days"/>
      </c:dateAx>
      <c:valAx>
        <c:axId val="16923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6967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50800" cap="flat" cmpd="sng" algn="ctr">
      <a:solidFill>
        <a:schemeClr val="accent6"/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Comparativo</a:t>
            </a:r>
            <a:r>
              <a:rPr lang="es-MX" baseline="0"/>
              <a:t> de balance de cobertura mediática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Hoja1!$C$89:$C$90</c:f>
              <c:strCache>
                <c:ptCount val="2"/>
                <c:pt idx="0">
                  <c:v>SPEEDY GONZÁLEZ</c:v>
                </c:pt>
                <c:pt idx="1">
                  <c:v>BALANCE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Hoja1!$B$91:$B$100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Hoja1!$C$91:$C$100</c:f>
              <c:numCache>
                <c:formatCode>General</c:formatCode>
                <c:ptCount val="10"/>
                <c:pt idx="0">
                  <c:v>20</c:v>
                </c:pt>
                <c:pt idx="1">
                  <c:v>25</c:v>
                </c:pt>
                <c:pt idx="2">
                  <c:v>12</c:v>
                </c:pt>
                <c:pt idx="3">
                  <c:v>31</c:v>
                </c:pt>
                <c:pt idx="4">
                  <c:v>24</c:v>
                </c:pt>
                <c:pt idx="5">
                  <c:v>27</c:v>
                </c:pt>
                <c:pt idx="6">
                  <c:v>16</c:v>
                </c:pt>
                <c:pt idx="7">
                  <c:v>4</c:v>
                </c:pt>
                <c:pt idx="8">
                  <c:v>14</c:v>
                </c:pt>
                <c:pt idx="9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2E-C140-BBBB-666BA40CF86B}"/>
            </c:ext>
          </c:extLst>
        </c:ser>
        <c:ser>
          <c:idx val="1"/>
          <c:order val="1"/>
          <c:tx>
            <c:strRef>
              <c:f>Hoja1!$D$89:$D$90</c:f>
              <c:strCache>
                <c:ptCount val="2"/>
                <c:pt idx="0">
                  <c:v>CORRE CAMINOS</c:v>
                </c:pt>
                <c:pt idx="1">
                  <c:v>BALANCE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Hoja1!$B$91:$B$100</c:f>
              <c:numCache>
                <c:formatCode>yyyy\-mm\-dd;@</c:formatCode>
                <c:ptCount val="10"/>
                <c:pt idx="0">
                  <c:v>46296</c:v>
                </c:pt>
                <c:pt idx="1">
                  <c:v>46297</c:v>
                </c:pt>
                <c:pt idx="2">
                  <c:v>46298</c:v>
                </c:pt>
                <c:pt idx="3">
                  <c:v>46299</c:v>
                </c:pt>
                <c:pt idx="4">
                  <c:v>46300</c:v>
                </c:pt>
                <c:pt idx="5">
                  <c:v>46301</c:v>
                </c:pt>
                <c:pt idx="6">
                  <c:v>46302</c:v>
                </c:pt>
                <c:pt idx="7">
                  <c:v>46303</c:v>
                </c:pt>
                <c:pt idx="8">
                  <c:v>46304</c:v>
                </c:pt>
                <c:pt idx="9">
                  <c:v>46305</c:v>
                </c:pt>
              </c:numCache>
            </c:numRef>
          </c:cat>
          <c:val>
            <c:numRef>
              <c:f>Hoja1!$D$91:$D$100</c:f>
              <c:numCache>
                <c:formatCode>General</c:formatCode>
                <c:ptCount val="10"/>
                <c:pt idx="0">
                  <c:v>26</c:v>
                </c:pt>
                <c:pt idx="1">
                  <c:v>25</c:v>
                </c:pt>
                <c:pt idx="2">
                  <c:v>23</c:v>
                </c:pt>
                <c:pt idx="3">
                  <c:v>23</c:v>
                </c:pt>
                <c:pt idx="4">
                  <c:v>26</c:v>
                </c:pt>
                <c:pt idx="5">
                  <c:v>28</c:v>
                </c:pt>
                <c:pt idx="6">
                  <c:v>30</c:v>
                </c:pt>
                <c:pt idx="7">
                  <c:v>20</c:v>
                </c:pt>
                <c:pt idx="8">
                  <c:v>17</c:v>
                </c:pt>
                <c:pt idx="9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2E-C140-BBBB-666BA40CF8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861920"/>
        <c:axId val="543998800"/>
      </c:lineChart>
      <c:dateAx>
        <c:axId val="543861920"/>
        <c:scaling>
          <c:orientation val="minMax"/>
        </c:scaling>
        <c:delete val="0"/>
        <c:axPos val="b"/>
        <c:numFmt formatCode="yyyy\-mm\-dd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3998800"/>
        <c:crosses val="autoZero"/>
        <c:auto val="1"/>
        <c:lblOffset val="100"/>
        <c:baseTimeUnit val="days"/>
      </c:dateAx>
      <c:valAx>
        <c:axId val="543998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38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359833</xdr:colOff>
      <xdr:row>3</xdr:row>
      <xdr:rowOff>46567</xdr:rowOff>
    </xdr:from>
    <xdr:to>
      <xdr:col>13</xdr:col>
      <xdr:colOff>573548</xdr:colOff>
      <xdr:row>18</xdr:row>
      <xdr:rowOff>81936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59E047-137F-F8C1-0259-73380C6F0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736064</xdr:colOff>
      <xdr:row>22</xdr:row>
      <xdr:rowOff>55270</xdr:rowOff>
    </xdr:from>
    <xdr:to>
      <xdr:col>13</xdr:col>
      <xdr:colOff>532580</xdr:colOff>
      <xdr:row>36</xdr:row>
      <xdr:rowOff>150216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5AFA870-21EF-1B07-7E7A-A3CC274BED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294968</xdr:colOff>
      <xdr:row>44</xdr:row>
      <xdr:rowOff>192003</xdr:rowOff>
    </xdr:from>
    <xdr:to>
      <xdr:col>12</xdr:col>
      <xdr:colOff>770194</xdr:colOff>
      <xdr:row>57</xdr:row>
      <xdr:rowOff>40149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A911075-CE73-EDED-F06B-C51F0426F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144752</xdr:colOff>
      <xdr:row>104</xdr:row>
      <xdr:rowOff>14474</xdr:rowOff>
    </xdr:from>
    <xdr:to>
      <xdr:col>12</xdr:col>
      <xdr:colOff>136559</xdr:colOff>
      <xdr:row>117</xdr:row>
      <xdr:rowOff>54622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FD049908-6027-EFF1-51E0-8F44A6DBA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219861</xdr:colOff>
      <xdr:row>88</xdr:row>
      <xdr:rowOff>28132</xdr:rowOff>
    </xdr:from>
    <xdr:to>
      <xdr:col>12</xdr:col>
      <xdr:colOff>109247</xdr:colOff>
      <xdr:row>102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B6948369-D3D5-F400-7BC2-9473FA50FC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07D6-5E3E-8F4C-B914-3D2E1FCACC51}">
  <dimension ref="B3:L116"/>
  <sheetViews>
    <sheetView tabSelected="1" zoomScale="93" zoomScaleNormal="93" workbookViewId="0">
      <selection activeCell="B3" sqref="B3"/>
    </sheetView>
  </sheetViews>
  <sheetFormatPr defaultColWidth="11.19921875" defaultRowHeight="15.6" x14ac:dyDescent="0.3"/>
  <cols>
    <col min="2" max="2" width="11.5" bestFit="1" customWidth="1"/>
  </cols>
  <sheetData>
    <row r="3" spans="2:9" x14ac:dyDescent="0.3">
      <c r="I3" t="s">
        <v>7</v>
      </c>
    </row>
    <row r="4" spans="2:9" x14ac:dyDescent="0.3">
      <c r="C4" t="s">
        <v>0</v>
      </c>
      <c r="D4" t="s">
        <v>1</v>
      </c>
      <c r="E4" t="s">
        <v>2</v>
      </c>
      <c r="F4" t="s">
        <v>3</v>
      </c>
    </row>
    <row r="5" spans="2:9" x14ac:dyDescent="0.3">
      <c r="B5" s="1">
        <v>46296</v>
      </c>
      <c r="C5">
        <v>5</v>
      </c>
      <c r="D5">
        <v>3</v>
      </c>
      <c r="E5">
        <v>18</v>
      </c>
      <c r="F5">
        <f>SUM(C5:E5)</f>
        <v>26</v>
      </c>
    </row>
    <row r="6" spans="2:9" x14ac:dyDescent="0.3">
      <c r="B6" s="1">
        <v>46297</v>
      </c>
      <c r="C6">
        <v>7</v>
      </c>
      <c r="D6">
        <v>4</v>
      </c>
      <c r="E6">
        <v>22</v>
      </c>
      <c r="F6">
        <f t="shared" ref="F6:F14" si="0">SUM(C6:E6)</f>
        <v>33</v>
      </c>
    </row>
    <row r="7" spans="2:9" x14ac:dyDescent="0.3">
      <c r="B7" s="1">
        <v>46298</v>
      </c>
      <c r="C7">
        <v>8</v>
      </c>
      <c r="D7">
        <v>1</v>
      </c>
      <c r="E7">
        <v>5</v>
      </c>
      <c r="F7">
        <f t="shared" si="0"/>
        <v>14</v>
      </c>
    </row>
    <row r="8" spans="2:9" x14ac:dyDescent="0.3">
      <c r="B8" s="1">
        <v>46299</v>
      </c>
      <c r="C8">
        <v>15</v>
      </c>
      <c r="D8">
        <v>1</v>
      </c>
      <c r="E8">
        <v>17</v>
      </c>
      <c r="F8">
        <f t="shared" si="0"/>
        <v>33</v>
      </c>
    </row>
    <row r="9" spans="2:9" x14ac:dyDescent="0.3">
      <c r="B9" s="1">
        <v>46300</v>
      </c>
      <c r="C9">
        <v>12</v>
      </c>
      <c r="D9">
        <v>2</v>
      </c>
      <c r="E9">
        <v>14</v>
      </c>
      <c r="F9">
        <f t="shared" si="0"/>
        <v>28</v>
      </c>
    </row>
    <row r="10" spans="2:9" x14ac:dyDescent="0.3">
      <c r="B10" s="1">
        <v>46301</v>
      </c>
      <c r="C10">
        <v>8</v>
      </c>
      <c r="D10">
        <v>5</v>
      </c>
      <c r="E10">
        <v>24</v>
      </c>
      <c r="F10">
        <f t="shared" si="0"/>
        <v>37</v>
      </c>
    </row>
    <row r="11" spans="2:9" x14ac:dyDescent="0.3">
      <c r="B11" s="1">
        <v>46302</v>
      </c>
      <c r="C11">
        <v>5</v>
      </c>
      <c r="D11">
        <v>7</v>
      </c>
      <c r="E11">
        <v>18</v>
      </c>
      <c r="F11">
        <f t="shared" si="0"/>
        <v>30</v>
      </c>
    </row>
    <row r="12" spans="2:9" x14ac:dyDescent="0.3">
      <c r="B12" s="1">
        <v>46303</v>
      </c>
      <c r="C12">
        <v>3</v>
      </c>
      <c r="D12">
        <v>8</v>
      </c>
      <c r="E12">
        <v>9</v>
      </c>
      <c r="F12">
        <f t="shared" si="0"/>
        <v>20</v>
      </c>
    </row>
    <row r="13" spans="2:9" x14ac:dyDescent="0.3">
      <c r="B13" s="1">
        <v>46304</v>
      </c>
      <c r="C13">
        <v>3</v>
      </c>
      <c r="D13">
        <v>1</v>
      </c>
      <c r="E13">
        <v>12</v>
      </c>
      <c r="F13">
        <f t="shared" si="0"/>
        <v>16</v>
      </c>
    </row>
    <row r="14" spans="2:9" x14ac:dyDescent="0.3">
      <c r="B14" s="1">
        <v>46305</v>
      </c>
      <c r="C14">
        <v>5</v>
      </c>
      <c r="D14">
        <v>1</v>
      </c>
      <c r="E14">
        <v>8</v>
      </c>
      <c r="F14">
        <f t="shared" si="0"/>
        <v>14</v>
      </c>
    </row>
    <row r="22" spans="2:9" x14ac:dyDescent="0.3">
      <c r="I22" t="s">
        <v>7</v>
      </c>
    </row>
    <row r="26" spans="2:9" x14ac:dyDescent="0.3">
      <c r="C26" t="s">
        <v>4</v>
      </c>
      <c r="D26" t="s">
        <v>0</v>
      </c>
      <c r="E26" t="s">
        <v>1</v>
      </c>
      <c r="F26" t="s">
        <v>2</v>
      </c>
    </row>
    <row r="27" spans="2:9" x14ac:dyDescent="0.3">
      <c r="B27" s="1">
        <v>46296</v>
      </c>
      <c r="C27">
        <f t="shared" ref="C27:C36" si="1">D27-E27+F27</f>
        <v>20</v>
      </c>
      <c r="D27">
        <v>5</v>
      </c>
      <c r="E27">
        <v>3</v>
      </c>
      <c r="F27">
        <v>18</v>
      </c>
    </row>
    <row r="28" spans="2:9" x14ac:dyDescent="0.3">
      <c r="B28" s="1">
        <v>46297</v>
      </c>
      <c r="C28">
        <f t="shared" si="1"/>
        <v>25</v>
      </c>
      <c r="D28">
        <v>7</v>
      </c>
      <c r="E28">
        <v>4</v>
      </c>
      <c r="F28">
        <v>22</v>
      </c>
    </row>
    <row r="29" spans="2:9" x14ac:dyDescent="0.3">
      <c r="B29" s="1">
        <v>46298</v>
      </c>
      <c r="C29">
        <f t="shared" si="1"/>
        <v>12</v>
      </c>
      <c r="D29">
        <v>8</v>
      </c>
      <c r="E29">
        <v>1</v>
      </c>
      <c r="F29">
        <v>5</v>
      </c>
    </row>
    <row r="30" spans="2:9" x14ac:dyDescent="0.3">
      <c r="B30" s="1">
        <v>46299</v>
      </c>
      <c r="C30">
        <f t="shared" si="1"/>
        <v>31</v>
      </c>
      <c r="D30">
        <v>15</v>
      </c>
      <c r="E30">
        <v>1</v>
      </c>
      <c r="F30">
        <v>17</v>
      </c>
    </row>
    <row r="31" spans="2:9" x14ac:dyDescent="0.3">
      <c r="B31" s="1">
        <v>46300</v>
      </c>
      <c r="C31">
        <f t="shared" si="1"/>
        <v>24</v>
      </c>
      <c r="D31">
        <v>12</v>
      </c>
      <c r="E31">
        <v>2</v>
      </c>
      <c r="F31">
        <v>14</v>
      </c>
    </row>
    <row r="32" spans="2:9" x14ac:dyDescent="0.3">
      <c r="B32" s="1">
        <v>46301</v>
      </c>
      <c r="C32">
        <f t="shared" si="1"/>
        <v>27</v>
      </c>
      <c r="D32">
        <v>8</v>
      </c>
      <c r="E32">
        <v>5</v>
      </c>
      <c r="F32">
        <v>24</v>
      </c>
    </row>
    <row r="33" spans="2:9" x14ac:dyDescent="0.3">
      <c r="B33" s="1">
        <v>46302</v>
      </c>
      <c r="C33">
        <f t="shared" si="1"/>
        <v>16</v>
      </c>
      <c r="D33">
        <v>5</v>
      </c>
      <c r="E33">
        <v>7</v>
      </c>
      <c r="F33">
        <v>18</v>
      </c>
    </row>
    <row r="34" spans="2:9" x14ac:dyDescent="0.3">
      <c r="B34" s="1">
        <v>46303</v>
      </c>
      <c r="C34">
        <f t="shared" si="1"/>
        <v>4</v>
      </c>
      <c r="D34">
        <v>3</v>
      </c>
      <c r="E34">
        <v>8</v>
      </c>
      <c r="F34">
        <v>9</v>
      </c>
    </row>
    <row r="35" spans="2:9" x14ac:dyDescent="0.3">
      <c r="B35" s="1">
        <v>46304</v>
      </c>
      <c r="C35">
        <f t="shared" si="1"/>
        <v>14</v>
      </c>
      <c r="D35">
        <v>3</v>
      </c>
      <c r="E35">
        <v>1</v>
      </c>
      <c r="F35">
        <v>12</v>
      </c>
    </row>
    <row r="36" spans="2:9" x14ac:dyDescent="0.3">
      <c r="B36" s="1">
        <v>46305</v>
      </c>
      <c r="C36">
        <f t="shared" si="1"/>
        <v>12</v>
      </c>
      <c r="D36">
        <v>5</v>
      </c>
      <c r="E36">
        <v>1</v>
      </c>
      <c r="F36">
        <v>8</v>
      </c>
    </row>
    <row r="38" spans="2:9" x14ac:dyDescent="0.3">
      <c r="H38" t="s">
        <v>5</v>
      </c>
    </row>
    <row r="44" spans="2:9" x14ac:dyDescent="0.3">
      <c r="I44" t="s">
        <v>7</v>
      </c>
    </row>
    <row r="46" spans="2:9" ht="31.2" x14ac:dyDescent="0.3">
      <c r="C46" t="s">
        <v>4</v>
      </c>
      <c r="D46" s="2" t="s">
        <v>6</v>
      </c>
      <c r="E46" t="s">
        <v>0</v>
      </c>
      <c r="F46" t="s">
        <v>1</v>
      </c>
      <c r="G46" t="s">
        <v>2</v>
      </c>
    </row>
    <row r="47" spans="2:9" x14ac:dyDescent="0.3">
      <c r="B47" s="1">
        <v>46296</v>
      </c>
      <c r="C47">
        <f t="shared" ref="C47:C56" si="2">E47-F47+G47</f>
        <v>20</v>
      </c>
      <c r="D47">
        <v>20</v>
      </c>
      <c r="E47">
        <v>5</v>
      </c>
      <c r="F47">
        <v>3</v>
      </c>
      <c r="G47">
        <v>18</v>
      </c>
    </row>
    <row r="48" spans="2:9" x14ac:dyDescent="0.3">
      <c r="B48" s="1">
        <v>46297</v>
      </c>
      <c r="C48">
        <f t="shared" si="2"/>
        <v>25</v>
      </c>
      <c r="D48">
        <f>D47+C48</f>
        <v>45</v>
      </c>
      <c r="E48">
        <v>7</v>
      </c>
      <c r="F48">
        <v>4</v>
      </c>
      <c r="G48">
        <v>22</v>
      </c>
    </row>
    <row r="49" spans="2:10" x14ac:dyDescent="0.3">
      <c r="B49" s="1">
        <v>46298</v>
      </c>
      <c r="C49">
        <f t="shared" si="2"/>
        <v>12</v>
      </c>
      <c r="D49">
        <f t="shared" ref="D49:D56" si="3">D48+C49</f>
        <v>57</v>
      </c>
      <c r="E49">
        <v>8</v>
      </c>
      <c r="F49">
        <v>1</v>
      </c>
      <c r="G49">
        <v>5</v>
      </c>
    </row>
    <row r="50" spans="2:10" x14ac:dyDescent="0.3">
      <c r="B50" s="1">
        <v>46299</v>
      </c>
      <c r="C50">
        <f t="shared" si="2"/>
        <v>31</v>
      </c>
      <c r="D50">
        <f t="shared" si="3"/>
        <v>88</v>
      </c>
      <c r="E50">
        <v>15</v>
      </c>
      <c r="F50">
        <v>1</v>
      </c>
      <c r="G50">
        <v>17</v>
      </c>
    </row>
    <row r="51" spans="2:10" x14ac:dyDescent="0.3">
      <c r="B51" s="1">
        <v>46300</v>
      </c>
      <c r="C51">
        <f t="shared" si="2"/>
        <v>24</v>
      </c>
      <c r="D51">
        <f t="shared" si="3"/>
        <v>112</v>
      </c>
      <c r="E51">
        <v>12</v>
      </c>
      <c r="F51">
        <v>2</v>
      </c>
      <c r="G51">
        <v>14</v>
      </c>
    </row>
    <row r="52" spans="2:10" x14ac:dyDescent="0.3">
      <c r="B52" s="1">
        <v>46301</v>
      </c>
      <c r="C52">
        <f t="shared" si="2"/>
        <v>27</v>
      </c>
      <c r="D52">
        <f t="shared" si="3"/>
        <v>139</v>
      </c>
      <c r="E52">
        <v>8</v>
      </c>
      <c r="F52">
        <v>5</v>
      </c>
      <c r="G52">
        <v>24</v>
      </c>
    </row>
    <row r="53" spans="2:10" x14ac:dyDescent="0.3">
      <c r="B53" s="1">
        <v>46302</v>
      </c>
      <c r="C53">
        <f t="shared" si="2"/>
        <v>16</v>
      </c>
      <c r="D53">
        <f t="shared" si="3"/>
        <v>155</v>
      </c>
      <c r="E53">
        <v>5</v>
      </c>
      <c r="F53">
        <v>7</v>
      </c>
      <c r="G53">
        <v>18</v>
      </c>
    </row>
    <row r="54" spans="2:10" x14ac:dyDescent="0.3">
      <c r="B54" s="1">
        <v>46303</v>
      </c>
      <c r="C54">
        <f t="shared" si="2"/>
        <v>4</v>
      </c>
      <c r="D54">
        <f t="shared" si="3"/>
        <v>159</v>
      </c>
      <c r="E54">
        <v>3</v>
      </c>
      <c r="F54">
        <v>8</v>
      </c>
      <c r="G54">
        <v>9</v>
      </c>
    </row>
    <row r="55" spans="2:10" x14ac:dyDescent="0.3">
      <c r="B55" s="1">
        <v>46304</v>
      </c>
      <c r="C55">
        <f t="shared" si="2"/>
        <v>14</v>
      </c>
      <c r="D55">
        <f t="shared" si="3"/>
        <v>173</v>
      </c>
      <c r="E55">
        <v>3</v>
      </c>
      <c r="F55">
        <v>1</v>
      </c>
      <c r="G55">
        <v>12</v>
      </c>
    </row>
    <row r="56" spans="2:10" x14ac:dyDescent="0.3">
      <c r="B56" s="1">
        <v>46305</v>
      </c>
      <c r="C56">
        <f t="shared" si="2"/>
        <v>12</v>
      </c>
      <c r="D56">
        <f t="shared" si="3"/>
        <v>185</v>
      </c>
      <c r="E56">
        <v>5</v>
      </c>
      <c r="F56">
        <v>1</v>
      </c>
      <c r="G56">
        <v>8</v>
      </c>
    </row>
    <row r="61" spans="2:10" x14ac:dyDescent="0.3">
      <c r="C61" s="9" t="s">
        <v>7</v>
      </c>
      <c r="D61" s="9"/>
      <c r="E61" s="9"/>
      <c r="F61" s="10"/>
      <c r="G61" s="9" t="s">
        <v>8</v>
      </c>
      <c r="H61" s="9"/>
      <c r="I61" s="9"/>
      <c r="J61" s="9"/>
    </row>
    <row r="62" spans="2:10" x14ac:dyDescent="0.3">
      <c r="C62" t="s">
        <v>0</v>
      </c>
      <c r="D62" t="s">
        <v>1</v>
      </c>
      <c r="E62" t="s">
        <v>2</v>
      </c>
      <c r="F62" s="4" t="s">
        <v>3</v>
      </c>
      <c r="G62" t="s">
        <v>0</v>
      </c>
      <c r="H62" t="s">
        <v>1</v>
      </c>
      <c r="I62" t="s">
        <v>2</v>
      </c>
      <c r="J62" t="s">
        <v>3</v>
      </c>
    </row>
    <row r="63" spans="2:10" x14ac:dyDescent="0.3">
      <c r="B63" s="1">
        <v>46296</v>
      </c>
      <c r="C63">
        <v>5</v>
      </c>
      <c r="D63">
        <v>3</v>
      </c>
      <c r="E63">
        <v>18</v>
      </c>
      <c r="F63" s="4">
        <f t="shared" ref="F63:F72" si="4">SUM(C63:E63)</f>
        <v>26</v>
      </c>
      <c r="G63">
        <v>8</v>
      </c>
      <c r="H63">
        <v>2</v>
      </c>
      <c r="I63">
        <v>20</v>
      </c>
      <c r="J63">
        <f t="shared" ref="J63:J72" si="5">SUM(G63:I63)</f>
        <v>30</v>
      </c>
    </row>
    <row r="64" spans="2:10" x14ac:dyDescent="0.3">
      <c r="B64" s="1">
        <v>46297</v>
      </c>
      <c r="C64">
        <v>7</v>
      </c>
      <c r="D64">
        <v>4</v>
      </c>
      <c r="E64">
        <v>22</v>
      </c>
      <c r="F64" s="4">
        <f t="shared" si="4"/>
        <v>33</v>
      </c>
      <c r="G64">
        <v>3</v>
      </c>
      <c r="H64">
        <v>1</v>
      </c>
      <c r="I64">
        <v>23</v>
      </c>
      <c r="J64">
        <f t="shared" si="5"/>
        <v>27</v>
      </c>
    </row>
    <row r="65" spans="2:10" x14ac:dyDescent="0.3">
      <c r="B65" s="1">
        <v>46298</v>
      </c>
      <c r="C65">
        <v>8</v>
      </c>
      <c r="D65">
        <v>1</v>
      </c>
      <c r="E65">
        <v>5</v>
      </c>
      <c r="F65" s="4">
        <f t="shared" si="4"/>
        <v>14</v>
      </c>
      <c r="G65">
        <v>14</v>
      </c>
      <c r="H65">
        <v>4</v>
      </c>
      <c r="I65">
        <v>7</v>
      </c>
      <c r="J65">
        <f t="shared" si="5"/>
        <v>25</v>
      </c>
    </row>
    <row r="66" spans="2:10" x14ac:dyDescent="0.3">
      <c r="B66" s="1">
        <v>46299</v>
      </c>
      <c r="C66">
        <v>15</v>
      </c>
      <c r="D66">
        <v>1</v>
      </c>
      <c r="E66">
        <v>17</v>
      </c>
      <c r="F66" s="4">
        <f t="shared" si="4"/>
        <v>33</v>
      </c>
      <c r="G66">
        <v>10</v>
      </c>
      <c r="H66">
        <v>3</v>
      </c>
      <c r="I66">
        <v>16</v>
      </c>
      <c r="J66">
        <f t="shared" si="5"/>
        <v>29</v>
      </c>
    </row>
    <row r="67" spans="2:10" x14ac:dyDescent="0.3">
      <c r="B67" s="1">
        <v>46300</v>
      </c>
      <c r="C67">
        <v>12</v>
      </c>
      <c r="D67">
        <v>2</v>
      </c>
      <c r="E67">
        <v>14</v>
      </c>
      <c r="F67" s="4">
        <f t="shared" si="4"/>
        <v>28</v>
      </c>
      <c r="G67">
        <v>10</v>
      </c>
      <c r="H67">
        <v>2</v>
      </c>
      <c r="I67">
        <v>18</v>
      </c>
      <c r="J67">
        <f t="shared" si="5"/>
        <v>30</v>
      </c>
    </row>
    <row r="68" spans="2:10" x14ac:dyDescent="0.3">
      <c r="B68" s="1">
        <v>46301</v>
      </c>
      <c r="C68">
        <v>8</v>
      </c>
      <c r="D68">
        <v>5</v>
      </c>
      <c r="E68">
        <v>24</v>
      </c>
      <c r="F68" s="4">
        <f t="shared" si="4"/>
        <v>37</v>
      </c>
      <c r="G68">
        <v>7</v>
      </c>
      <c r="H68">
        <v>1</v>
      </c>
      <c r="I68">
        <v>22</v>
      </c>
      <c r="J68">
        <f t="shared" si="5"/>
        <v>30</v>
      </c>
    </row>
    <row r="69" spans="2:10" x14ac:dyDescent="0.3">
      <c r="B69" s="1">
        <v>46302</v>
      </c>
      <c r="C69">
        <v>5</v>
      </c>
      <c r="D69">
        <v>7</v>
      </c>
      <c r="E69">
        <v>18</v>
      </c>
      <c r="F69" s="4">
        <f t="shared" si="4"/>
        <v>30</v>
      </c>
      <c r="G69">
        <v>9</v>
      </c>
      <c r="H69">
        <v>2</v>
      </c>
      <c r="I69">
        <v>23</v>
      </c>
      <c r="J69">
        <f t="shared" si="5"/>
        <v>34</v>
      </c>
    </row>
    <row r="70" spans="2:10" x14ac:dyDescent="0.3">
      <c r="B70" s="1">
        <v>46303</v>
      </c>
      <c r="C70">
        <v>3</v>
      </c>
      <c r="D70">
        <v>8</v>
      </c>
      <c r="E70">
        <v>9</v>
      </c>
      <c r="F70" s="4">
        <f t="shared" si="4"/>
        <v>20</v>
      </c>
      <c r="G70">
        <v>9</v>
      </c>
      <c r="H70">
        <v>4</v>
      </c>
      <c r="I70">
        <v>15</v>
      </c>
      <c r="J70">
        <f t="shared" si="5"/>
        <v>28</v>
      </c>
    </row>
    <row r="71" spans="2:10" x14ac:dyDescent="0.3">
      <c r="B71" s="1">
        <v>46304</v>
      </c>
      <c r="C71">
        <v>3</v>
      </c>
      <c r="D71">
        <v>1</v>
      </c>
      <c r="E71">
        <v>12</v>
      </c>
      <c r="F71" s="4">
        <f t="shared" si="4"/>
        <v>16</v>
      </c>
      <c r="G71">
        <v>5</v>
      </c>
      <c r="H71">
        <v>2</v>
      </c>
      <c r="I71">
        <v>14</v>
      </c>
      <c r="J71">
        <f t="shared" si="5"/>
        <v>21</v>
      </c>
    </row>
    <row r="72" spans="2:10" x14ac:dyDescent="0.3">
      <c r="B72" s="1">
        <v>46305</v>
      </c>
      <c r="C72">
        <v>5</v>
      </c>
      <c r="D72">
        <v>1</v>
      </c>
      <c r="E72">
        <v>8</v>
      </c>
      <c r="F72" s="4">
        <f t="shared" si="4"/>
        <v>14</v>
      </c>
      <c r="G72">
        <v>3</v>
      </c>
      <c r="H72">
        <v>2</v>
      </c>
      <c r="I72">
        <v>11</v>
      </c>
      <c r="J72">
        <f t="shared" si="5"/>
        <v>16</v>
      </c>
    </row>
    <row r="75" spans="2:10" x14ac:dyDescent="0.3">
      <c r="C75" s="9" t="s">
        <v>7</v>
      </c>
      <c r="D75" s="9"/>
      <c r="E75" s="9"/>
      <c r="F75" s="10"/>
      <c r="G75" s="9" t="s">
        <v>8</v>
      </c>
      <c r="H75" s="9"/>
      <c r="I75" s="9"/>
      <c r="J75" s="9"/>
    </row>
    <row r="76" spans="2:10" x14ac:dyDescent="0.3">
      <c r="C76" t="s">
        <v>0</v>
      </c>
      <c r="D76" t="s">
        <v>1</v>
      </c>
      <c r="E76" t="s">
        <v>2</v>
      </c>
      <c r="F76" s="4" t="s">
        <v>9</v>
      </c>
      <c r="G76" t="s">
        <v>0</v>
      </c>
      <c r="H76" t="s">
        <v>1</v>
      </c>
      <c r="I76" t="s">
        <v>2</v>
      </c>
      <c r="J76" t="s">
        <v>9</v>
      </c>
    </row>
    <row r="77" spans="2:10" x14ac:dyDescent="0.3">
      <c r="B77" s="1">
        <v>46296</v>
      </c>
      <c r="C77">
        <v>5</v>
      </c>
      <c r="D77">
        <v>3</v>
      </c>
      <c r="E77">
        <v>18</v>
      </c>
      <c r="F77" s="5">
        <f>C77-D77+E77</f>
        <v>20</v>
      </c>
      <c r="G77">
        <v>8</v>
      </c>
      <c r="H77">
        <v>2</v>
      </c>
      <c r="I77">
        <v>20</v>
      </c>
      <c r="J77" s="6">
        <f>G77-H77+I77</f>
        <v>26</v>
      </c>
    </row>
    <row r="78" spans="2:10" x14ac:dyDescent="0.3">
      <c r="B78" s="1">
        <v>46297</v>
      </c>
      <c r="C78">
        <v>7</v>
      </c>
      <c r="D78">
        <v>4</v>
      </c>
      <c r="E78">
        <v>22</v>
      </c>
      <c r="F78" s="5">
        <f t="shared" ref="F78:F86" si="6">C78-D78+E78</f>
        <v>25</v>
      </c>
      <c r="G78">
        <v>3</v>
      </c>
      <c r="H78">
        <v>1</v>
      </c>
      <c r="I78">
        <v>23</v>
      </c>
      <c r="J78" s="6">
        <f t="shared" ref="J78:J86" si="7">G78-H78+I78</f>
        <v>25</v>
      </c>
    </row>
    <row r="79" spans="2:10" x14ac:dyDescent="0.3">
      <c r="B79" s="1">
        <v>46298</v>
      </c>
      <c r="C79">
        <v>8</v>
      </c>
      <c r="D79">
        <v>1</v>
      </c>
      <c r="E79">
        <v>5</v>
      </c>
      <c r="F79" s="5">
        <f t="shared" si="6"/>
        <v>12</v>
      </c>
      <c r="G79">
        <v>14</v>
      </c>
      <c r="H79">
        <v>4</v>
      </c>
      <c r="I79">
        <v>13</v>
      </c>
      <c r="J79" s="6">
        <f t="shared" si="7"/>
        <v>23</v>
      </c>
    </row>
    <row r="80" spans="2:10" x14ac:dyDescent="0.3">
      <c r="B80" s="1">
        <v>46299</v>
      </c>
      <c r="C80">
        <v>15</v>
      </c>
      <c r="D80">
        <v>1</v>
      </c>
      <c r="E80">
        <v>17</v>
      </c>
      <c r="F80" s="5">
        <f t="shared" si="6"/>
        <v>31</v>
      </c>
      <c r="G80">
        <v>10</v>
      </c>
      <c r="H80">
        <v>3</v>
      </c>
      <c r="I80">
        <v>16</v>
      </c>
      <c r="J80" s="6">
        <f t="shared" si="7"/>
        <v>23</v>
      </c>
    </row>
    <row r="81" spans="2:12" x14ac:dyDescent="0.3">
      <c r="B81" s="1">
        <v>46300</v>
      </c>
      <c r="C81">
        <v>12</v>
      </c>
      <c r="D81">
        <v>2</v>
      </c>
      <c r="E81">
        <v>14</v>
      </c>
      <c r="F81" s="5">
        <f t="shared" si="6"/>
        <v>24</v>
      </c>
      <c r="G81">
        <v>10</v>
      </c>
      <c r="H81">
        <v>2</v>
      </c>
      <c r="I81">
        <v>18</v>
      </c>
      <c r="J81" s="6">
        <f t="shared" si="7"/>
        <v>26</v>
      </c>
    </row>
    <row r="82" spans="2:12" x14ac:dyDescent="0.3">
      <c r="B82" s="1">
        <v>46301</v>
      </c>
      <c r="C82">
        <v>8</v>
      </c>
      <c r="D82">
        <v>5</v>
      </c>
      <c r="E82">
        <v>24</v>
      </c>
      <c r="F82" s="5">
        <f t="shared" si="6"/>
        <v>27</v>
      </c>
      <c r="G82">
        <v>7</v>
      </c>
      <c r="H82">
        <v>1</v>
      </c>
      <c r="I82">
        <v>22</v>
      </c>
      <c r="J82" s="6">
        <f t="shared" si="7"/>
        <v>28</v>
      </c>
    </row>
    <row r="83" spans="2:12" x14ac:dyDescent="0.3">
      <c r="B83" s="1">
        <v>46302</v>
      </c>
      <c r="C83">
        <v>5</v>
      </c>
      <c r="D83">
        <v>7</v>
      </c>
      <c r="E83">
        <v>18</v>
      </c>
      <c r="F83" s="5">
        <f t="shared" si="6"/>
        <v>16</v>
      </c>
      <c r="G83">
        <v>9</v>
      </c>
      <c r="H83">
        <v>2</v>
      </c>
      <c r="I83">
        <v>23</v>
      </c>
      <c r="J83" s="6">
        <f t="shared" si="7"/>
        <v>30</v>
      </c>
    </row>
    <row r="84" spans="2:12" x14ac:dyDescent="0.3">
      <c r="B84" s="1">
        <v>46303</v>
      </c>
      <c r="C84">
        <v>3</v>
      </c>
      <c r="D84">
        <v>8</v>
      </c>
      <c r="E84">
        <v>9</v>
      </c>
      <c r="F84" s="5">
        <f t="shared" si="6"/>
        <v>4</v>
      </c>
      <c r="G84">
        <v>9</v>
      </c>
      <c r="H84">
        <v>4</v>
      </c>
      <c r="I84">
        <v>15</v>
      </c>
      <c r="J84" s="6">
        <f t="shared" si="7"/>
        <v>20</v>
      </c>
    </row>
    <row r="85" spans="2:12" x14ac:dyDescent="0.3">
      <c r="B85" s="1">
        <v>46304</v>
      </c>
      <c r="C85">
        <v>3</v>
      </c>
      <c r="D85">
        <v>1</v>
      </c>
      <c r="E85">
        <v>12</v>
      </c>
      <c r="F85" s="5">
        <f t="shared" si="6"/>
        <v>14</v>
      </c>
      <c r="G85">
        <v>5</v>
      </c>
      <c r="H85">
        <v>2</v>
      </c>
      <c r="I85">
        <v>14</v>
      </c>
      <c r="J85" s="6">
        <f t="shared" si="7"/>
        <v>17</v>
      </c>
    </row>
    <row r="86" spans="2:12" x14ac:dyDescent="0.3">
      <c r="B86" s="1">
        <v>46305</v>
      </c>
      <c r="C86">
        <v>5</v>
      </c>
      <c r="D86">
        <v>1</v>
      </c>
      <c r="E86">
        <v>8</v>
      </c>
      <c r="F86" s="5">
        <f t="shared" si="6"/>
        <v>12</v>
      </c>
      <c r="G86">
        <v>6</v>
      </c>
      <c r="H86">
        <v>2</v>
      </c>
      <c r="I86">
        <v>18</v>
      </c>
      <c r="J86" s="6">
        <f t="shared" si="7"/>
        <v>22</v>
      </c>
    </row>
    <row r="89" spans="2:12" ht="31.2" x14ac:dyDescent="0.3">
      <c r="C89" s="7" t="s">
        <v>7</v>
      </c>
      <c r="D89" s="7" t="s">
        <v>10</v>
      </c>
      <c r="E89" s="3"/>
      <c r="I89" s="3"/>
      <c r="J89" s="3"/>
    </row>
    <row r="90" spans="2:12" x14ac:dyDescent="0.3">
      <c r="C90" s="3" t="s">
        <v>9</v>
      </c>
      <c r="D90" s="3" t="s">
        <v>9</v>
      </c>
      <c r="E90" s="3"/>
    </row>
    <row r="91" spans="2:12" x14ac:dyDescent="0.3">
      <c r="B91" s="1">
        <v>46296</v>
      </c>
      <c r="C91" s="6">
        <v>20</v>
      </c>
      <c r="D91" s="6">
        <v>26</v>
      </c>
      <c r="L91" s="6"/>
    </row>
    <row r="92" spans="2:12" x14ac:dyDescent="0.3">
      <c r="B92" s="1">
        <v>46297</v>
      </c>
      <c r="C92" s="6">
        <v>25</v>
      </c>
      <c r="D92" s="6">
        <v>25</v>
      </c>
      <c r="L92" s="6"/>
    </row>
    <row r="93" spans="2:12" x14ac:dyDescent="0.3">
      <c r="B93" s="1">
        <v>46298</v>
      </c>
      <c r="C93" s="6">
        <v>12</v>
      </c>
      <c r="D93" s="6">
        <v>23</v>
      </c>
      <c r="L93" s="6"/>
    </row>
    <row r="94" spans="2:12" x14ac:dyDescent="0.3">
      <c r="B94" s="1">
        <v>46299</v>
      </c>
      <c r="C94" s="6">
        <v>31</v>
      </c>
      <c r="D94" s="6">
        <v>23</v>
      </c>
      <c r="L94" s="6"/>
    </row>
    <row r="95" spans="2:12" x14ac:dyDescent="0.3">
      <c r="B95" s="1">
        <v>46300</v>
      </c>
      <c r="C95" s="6">
        <v>24</v>
      </c>
      <c r="D95" s="6">
        <v>26</v>
      </c>
      <c r="L95" s="6"/>
    </row>
    <row r="96" spans="2:12" x14ac:dyDescent="0.3">
      <c r="B96" s="1">
        <v>46301</v>
      </c>
      <c r="C96" s="6">
        <v>27</v>
      </c>
      <c r="D96" s="6">
        <v>28</v>
      </c>
      <c r="L96" s="6"/>
    </row>
    <row r="97" spans="2:12" x14ac:dyDescent="0.3">
      <c r="B97" s="1">
        <v>46302</v>
      </c>
      <c r="C97" s="6">
        <v>16</v>
      </c>
      <c r="D97" s="6">
        <v>30</v>
      </c>
      <c r="L97" s="6"/>
    </row>
    <row r="98" spans="2:12" x14ac:dyDescent="0.3">
      <c r="B98" s="1">
        <v>46303</v>
      </c>
      <c r="C98" s="6">
        <v>4</v>
      </c>
      <c r="D98" s="6">
        <v>20</v>
      </c>
      <c r="L98" s="6"/>
    </row>
    <row r="99" spans="2:12" x14ac:dyDescent="0.3">
      <c r="B99" s="1">
        <v>46304</v>
      </c>
      <c r="C99" s="6">
        <v>14</v>
      </c>
      <c r="D99" s="6">
        <v>17</v>
      </c>
      <c r="L99" s="6"/>
    </row>
    <row r="100" spans="2:12" x14ac:dyDescent="0.3">
      <c r="B100" s="1">
        <v>46305</v>
      </c>
      <c r="C100" s="6">
        <v>12</v>
      </c>
      <c r="D100" s="6">
        <v>22</v>
      </c>
      <c r="L100" s="6"/>
    </row>
    <row r="105" spans="2:12" ht="31.2" x14ac:dyDescent="0.3">
      <c r="C105" s="7" t="s">
        <v>7</v>
      </c>
      <c r="D105" s="7" t="s">
        <v>10</v>
      </c>
    </row>
    <row r="106" spans="2:12" ht="28.8" x14ac:dyDescent="0.3">
      <c r="B106" s="3"/>
      <c r="C106" s="8" t="s">
        <v>11</v>
      </c>
      <c r="D106" s="8" t="s">
        <v>11</v>
      </c>
    </row>
    <row r="107" spans="2:12" x14ac:dyDescent="0.3">
      <c r="B107" s="1">
        <v>46296</v>
      </c>
      <c r="C107" s="6">
        <v>20</v>
      </c>
      <c r="D107" s="6">
        <v>26</v>
      </c>
    </row>
    <row r="108" spans="2:12" x14ac:dyDescent="0.3">
      <c r="B108" s="1">
        <v>46297</v>
      </c>
      <c r="C108" s="6">
        <f t="shared" ref="C108:C116" si="8">C107+C92</f>
        <v>45</v>
      </c>
      <c r="D108" s="6">
        <f t="shared" ref="D108:D116" si="9">D107+D92</f>
        <v>51</v>
      </c>
    </row>
    <row r="109" spans="2:12" x14ac:dyDescent="0.3">
      <c r="B109" s="1">
        <v>46298</v>
      </c>
      <c r="C109" s="6">
        <f t="shared" si="8"/>
        <v>57</v>
      </c>
      <c r="D109" s="6">
        <f t="shared" si="9"/>
        <v>74</v>
      </c>
    </row>
    <row r="110" spans="2:12" x14ac:dyDescent="0.3">
      <c r="B110" s="1">
        <v>46299</v>
      </c>
      <c r="C110" s="6">
        <f t="shared" si="8"/>
        <v>88</v>
      </c>
      <c r="D110" s="6">
        <f t="shared" si="9"/>
        <v>97</v>
      </c>
    </row>
    <row r="111" spans="2:12" x14ac:dyDescent="0.3">
      <c r="B111" s="1">
        <v>46300</v>
      </c>
      <c r="C111" s="6">
        <f t="shared" si="8"/>
        <v>112</v>
      </c>
      <c r="D111" s="6">
        <f t="shared" si="9"/>
        <v>123</v>
      </c>
    </row>
    <row r="112" spans="2:12" x14ac:dyDescent="0.3">
      <c r="B112" s="1">
        <v>46301</v>
      </c>
      <c r="C112" s="6">
        <f t="shared" si="8"/>
        <v>139</v>
      </c>
      <c r="D112" s="6">
        <f t="shared" si="9"/>
        <v>151</v>
      </c>
    </row>
    <row r="113" spans="2:4" x14ac:dyDescent="0.3">
      <c r="B113" s="1">
        <v>46302</v>
      </c>
      <c r="C113" s="6">
        <f t="shared" si="8"/>
        <v>155</v>
      </c>
      <c r="D113" s="6">
        <f t="shared" si="9"/>
        <v>181</v>
      </c>
    </row>
    <row r="114" spans="2:4" x14ac:dyDescent="0.3">
      <c r="B114" s="1">
        <v>46303</v>
      </c>
      <c r="C114" s="6">
        <f t="shared" si="8"/>
        <v>159</v>
      </c>
      <c r="D114" s="6">
        <f t="shared" si="9"/>
        <v>201</v>
      </c>
    </row>
    <row r="115" spans="2:4" x14ac:dyDescent="0.3">
      <c r="B115" s="1">
        <v>46304</v>
      </c>
      <c r="C115" s="6">
        <f t="shared" si="8"/>
        <v>173</v>
      </c>
      <c r="D115" s="6">
        <f t="shared" si="9"/>
        <v>218</v>
      </c>
    </row>
    <row r="116" spans="2:4" x14ac:dyDescent="0.3">
      <c r="B116" s="1">
        <v>46305</v>
      </c>
      <c r="C116" s="6">
        <f t="shared" si="8"/>
        <v>185</v>
      </c>
      <c r="D116" s="6">
        <f t="shared" si="9"/>
        <v>240</v>
      </c>
    </row>
  </sheetData>
  <mergeCells count="4">
    <mergeCell ref="C61:F61"/>
    <mergeCell ref="G61:J61"/>
    <mergeCell ref="C75:F75"/>
    <mergeCell ref="G75:J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rayas</dc:creator>
  <cp:lastModifiedBy>Unidad de Sistemas de  Información</cp:lastModifiedBy>
  <dcterms:created xsi:type="dcterms:W3CDTF">2026-10-13T16:22:07Z</dcterms:created>
  <dcterms:modified xsi:type="dcterms:W3CDTF">2026-10-13T18:04:11Z</dcterms:modified>
</cp:coreProperties>
</file>